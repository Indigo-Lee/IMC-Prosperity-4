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<sst xmlns="http://schemas.openxmlformats.org/spreadsheetml/2006/main" count="29" uniqueCount="12">
  <si>
    <t>Dryland Flax</t>
  </si>
  <si>
    <t>Bid Price</t>
  </si>
  <si>
    <t>Volume</t>
  </si>
  <si>
    <t>Ask Price</t>
  </si>
  <si>
    <t>No way to achieve profit; queues will fill up before we get any arb</t>
  </si>
  <si>
    <t>Ember Mushroom</t>
  </si>
  <si>
    <t>Sold directly after the auction for:</t>
  </si>
  <si>
    <t>→</t>
  </si>
  <si>
    <t>Buying</t>
  </si>
  <si>
    <t>Selling</t>
  </si>
  <si>
    <t>Tax (.1Vol)</t>
  </si>
  <si>
    <t>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</si>
</sst>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0" xfId="0" applyFont="1"/>
    <xf borderId="0" fillId="2" fontId="1" numFmtId="3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2</v>
      </c>
    </row>
    <row r="3">
      <c r="A3" s="2">
        <v>30.0</v>
      </c>
      <c r="B3" s="3">
        <v>30000.0</v>
      </c>
      <c r="C3" s="2">
        <v>28.0</v>
      </c>
      <c r="D3" s="3">
        <v>40000.0</v>
      </c>
      <c r="F3" s="2" t="s">
        <v>4</v>
      </c>
    </row>
    <row r="4">
      <c r="A4" s="2">
        <v>29.0</v>
      </c>
      <c r="B4" s="3">
        <v>5000.0</v>
      </c>
      <c r="C4" s="2">
        <v>31.0</v>
      </c>
      <c r="D4" s="3">
        <v>20000.0</v>
      </c>
    </row>
    <row r="5">
      <c r="A5" s="2">
        <v>28.0</v>
      </c>
      <c r="B5" s="3">
        <v>12000.0</v>
      </c>
      <c r="C5" s="2">
        <v>32.0</v>
      </c>
      <c r="D5" s="3">
        <v>20000.0</v>
      </c>
    </row>
    <row r="6">
      <c r="A6" s="2">
        <v>27.0</v>
      </c>
      <c r="B6" s="3">
        <v>28000.0</v>
      </c>
      <c r="C6" s="2">
        <v>33.0</v>
      </c>
      <c r="D6" s="3">
        <v>30000.0</v>
      </c>
    </row>
    <row r="8">
      <c r="A8" s="1" t="s">
        <v>5</v>
      </c>
      <c r="E8" s="2" t="s">
        <v>6</v>
      </c>
      <c r="G8" s="2">
        <v>20.0</v>
      </c>
    </row>
    <row r="9">
      <c r="A9" s="1" t="s">
        <v>1</v>
      </c>
      <c r="B9" s="1" t="s">
        <v>2</v>
      </c>
      <c r="C9" s="1" t="s">
        <v>3</v>
      </c>
      <c r="D9" s="1" t="s">
        <v>2</v>
      </c>
      <c r="E9" s="1" t="s">
        <v>7</v>
      </c>
      <c r="F9" s="1" t="s">
        <v>1</v>
      </c>
      <c r="G9" s="1" t="s">
        <v>2</v>
      </c>
      <c r="H9" s="1" t="s">
        <v>3</v>
      </c>
      <c r="I9" s="1" t="s">
        <v>2</v>
      </c>
    </row>
    <row r="10">
      <c r="A10" s="2">
        <v>20.0</v>
      </c>
      <c r="B10" s="3">
        <v>43000.0</v>
      </c>
      <c r="C10" s="2">
        <v>12.0</v>
      </c>
      <c r="D10" s="3">
        <v>20000.0</v>
      </c>
      <c r="E10" s="1" t="s">
        <v>7</v>
      </c>
      <c r="F10" s="2">
        <v>20.0</v>
      </c>
      <c r="G10" s="3"/>
      <c r="H10" s="2">
        <v>12.0</v>
      </c>
      <c r="I10" s="3"/>
    </row>
    <row r="11">
      <c r="A11" s="2">
        <v>19.0</v>
      </c>
      <c r="B11" s="3">
        <v>17000.0</v>
      </c>
      <c r="C11" s="2">
        <v>13.0</v>
      </c>
      <c r="D11" s="3">
        <v>25000.0</v>
      </c>
      <c r="E11" s="1" t="s">
        <v>7</v>
      </c>
      <c r="F11" s="2">
        <v>19.0</v>
      </c>
      <c r="G11" s="3"/>
      <c r="H11" s="2">
        <v>13.0</v>
      </c>
      <c r="I11" s="3"/>
    </row>
    <row r="12">
      <c r="A12" s="2">
        <v>18.0</v>
      </c>
      <c r="B12" s="3">
        <v>6000.0</v>
      </c>
      <c r="C12" s="2">
        <v>14.0</v>
      </c>
      <c r="D12" s="3">
        <v>35000.0</v>
      </c>
      <c r="E12" s="1" t="s">
        <v>7</v>
      </c>
      <c r="F12" s="2">
        <v>18.0</v>
      </c>
      <c r="G12" s="3"/>
      <c r="H12" s="2">
        <v>14.0</v>
      </c>
      <c r="I12" s="3"/>
    </row>
    <row r="13">
      <c r="A13" s="2">
        <v>17.0</v>
      </c>
      <c r="B13" s="3">
        <v>5000.0</v>
      </c>
      <c r="C13" s="2">
        <v>15.0</v>
      </c>
      <c r="D13" s="3">
        <v>6000.0</v>
      </c>
      <c r="E13" s="1" t="s">
        <v>7</v>
      </c>
      <c r="F13" s="2">
        <v>17.0</v>
      </c>
      <c r="G13" s="3"/>
      <c r="H13" s="2">
        <v>15.0</v>
      </c>
      <c r="I13" s="3"/>
      <c r="J13" s="2" t="s">
        <v>8</v>
      </c>
      <c r="K13" s="2" t="s">
        <v>9</v>
      </c>
      <c r="L13" s="2" t="s">
        <v>10</v>
      </c>
      <c r="M13" s="2" t="s">
        <v>11</v>
      </c>
    </row>
    <row r="14">
      <c r="A14" s="2">
        <v>16.0</v>
      </c>
      <c r="B14" s="3">
        <v>10000.0</v>
      </c>
      <c r="C14" s="2">
        <v>16.0</v>
      </c>
      <c r="D14" s="3">
        <v>5000.0</v>
      </c>
      <c r="E14" s="1" t="s">
        <v>7</v>
      </c>
      <c r="F14" s="2">
        <v>16.0</v>
      </c>
      <c r="G14" s="3"/>
      <c r="H14" s="2">
        <v>16.0</v>
      </c>
      <c r="I14" s="3">
        <v>5000.0</v>
      </c>
      <c r="J14" s="4">
        <f>I14*H14</f>
        <v>80000</v>
      </c>
      <c r="K14" s="4">
        <f>G8*I14</f>
        <v>100000</v>
      </c>
      <c r="L14" s="5">
        <f>0.1*I14</f>
        <v>500</v>
      </c>
      <c r="M14" s="4">
        <f>K14-J14-L14</f>
        <v>19500</v>
      </c>
    </row>
    <row r="15">
      <c r="A15" s="2">
        <v>15.0</v>
      </c>
      <c r="B15" s="3">
        <v>5000.0</v>
      </c>
      <c r="C15" s="2">
        <v>17.0</v>
      </c>
      <c r="D15" s="2">
        <v>0.0</v>
      </c>
      <c r="E15" s="1" t="s">
        <v>7</v>
      </c>
      <c r="F15" s="2">
        <v>15.0</v>
      </c>
      <c r="G15" s="3"/>
      <c r="H15" s="2">
        <v>17.0</v>
      </c>
      <c r="I15" s="3">
        <v>0.0</v>
      </c>
      <c r="J15" s="4"/>
      <c r="K15" s="4"/>
    </row>
    <row r="16">
      <c r="A16" s="2">
        <v>14.0</v>
      </c>
      <c r="B16" s="3">
        <v>10000.0</v>
      </c>
      <c r="C16" s="2">
        <v>18.0</v>
      </c>
      <c r="D16" s="3">
        <v>10000.0</v>
      </c>
      <c r="E16" s="1" t="s">
        <v>7</v>
      </c>
      <c r="F16" s="2">
        <v>14.0</v>
      </c>
      <c r="G16" s="3">
        <v>10.0</v>
      </c>
      <c r="H16" s="2">
        <v>18.0</v>
      </c>
      <c r="I16" s="3">
        <v>10000.0</v>
      </c>
      <c r="J16" s="4">
        <f t="shared" ref="J16:J17" si="1">I16*H16</f>
        <v>180000</v>
      </c>
      <c r="K16" s="4">
        <f>G8*I16</f>
        <v>200000</v>
      </c>
      <c r="L16" s="5">
        <f t="shared" ref="L16:L17" si="2">0.1*I16</f>
        <v>1000</v>
      </c>
      <c r="M16" s="4">
        <f t="shared" ref="M16:M17" si="3">K16-J16-L16</f>
        <v>19000</v>
      </c>
    </row>
    <row r="17">
      <c r="A17" s="2">
        <v>13.0</v>
      </c>
      <c r="B17" s="3">
        <v>7000.0</v>
      </c>
      <c r="C17" s="2">
        <v>19.0</v>
      </c>
      <c r="D17" s="3">
        <v>12000.0</v>
      </c>
      <c r="E17" s="1" t="s">
        <v>7</v>
      </c>
      <c r="F17" s="2">
        <v>13.0</v>
      </c>
      <c r="G17" s="3">
        <v>7.0</v>
      </c>
      <c r="H17" s="2">
        <v>19.0</v>
      </c>
      <c r="I17" s="3">
        <v>12000.0</v>
      </c>
      <c r="J17" s="4">
        <f t="shared" si="1"/>
        <v>228000</v>
      </c>
      <c r="K17" s="4">
        <f>G8*I17</f>
        <v>240000</v>
      </c>
      <c r="L17" s="5">
        <f t="shared" si="2"/>
        <v>1200</v>
      </c>
      <c r="M17" s="4">
        <f t="shared" si="3"/>
        <v>10800</v>
      </c>
    </row>
    <row r="18">
      <c r="M18" s="6">
        <f>SUM(M14:M17)</f>
        <v>49300</v>
      </c>
    </row>
  </sheetData>
  <mergeCells count="2">
    <mergeCell ref="A1:D1"/>
    <mergeCell ref="A8:D8"/>
  </mergeCells>
  <drawing r:id="rId1"/>
</worksheet>
</file>